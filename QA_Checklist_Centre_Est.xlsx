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" sheetId="1" state="visible" r:id="rId1"/>
    <sheet xmlns:r="http://schemas.openxmlformats.org/officeDocument/2006/relationships" name="Checklist QA" sheetId="2" state="visible" r:id="rId2"/>
  </sheets>
  <definedNames>
    <definedName name="_xlnm._FilterDatabase" localSheetId="1" hidden="1">'Checklist QA'!$A$1:$J$60</definedName>
    <definedName name="_xlnm.Print_Titles" localSheetId="1">'Checklist QA'!$1:$1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62A30"/>
      <sz val="11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062A30"/>
      <sz val="18"/>
    </font>
    <font>
      <name val="Calibri"/>
      <color rgb="0081572D"/>
      <sz val="11"/>
    </font>
    <font>
      <name val="Calibri"/>
      <b val="1"/>
      <color rgb="00062A30"/>
      <sz val="13"/>
    </font>
    <font>
      <b val="1"/>
      <color rgb="00166534"/>
    </font>
    <font>
      <b val="1"/>
      <color rgb="00991B1B"/>
    </font>
  </fonts>
  <fills count="17">
    <fill>
      <patternFill/>
    </fill>
    <fill>
      <patternFill patternType="gray125"/>
    </fill>
    <fill>
      <patternFill patternType="solid">
        <fgColor rgb="00062A30"/>
      </patternFill>
    </fill>
    <fill>
      <patternFill patternType="solid">
        <fgColor rgb="00FFF7ED"/>
      </patternFill>
    </fill>
    <fill>
      <patternFill patternType="solid">
        <fgColor rgb="00FECACA"/>
      </patternFill>
    </fill>
    <fill>
      <patternFill patternType="solid">
        <fgColor rgb="00FDE68A"/>
      </patternFill>
    </fill>
    <fill>
      <patternFill patternType="solid">
        <fgColor rgb="00F0FDFA"/>
      </patternFill>
    </fill>
    <fill>
      <patternFill patternType="solid">
        <fgColor rgb="00EFF6FF"/>
      </patternFill>
    </fill>
    <fill>
      <patternFill patternType="solid">
        <fgColor rgb="00FDF2F8"/>
      </patternFill>
    </fill>
    <fill>
      <patternFill patternType="solid">
        <fgColor rgb="00F5F3FF"/>
      </patternFill>
    </fill>
    <fill>
      <patternFill patternType="solid">
        <fgColor rgb="00FEFCE8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F7F1EB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6C4B6"/>
      </left>
      <right style="thin">
        <color rgb="00D6C4B6"/>
      </right>
      <top style="thin">
        <color rgb="00D6C4B6"/>
      </top>
      <bottom style="thin">
        <color rgb="00D6C4B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15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0" fillId="16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9" fillId="1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color rgb="00475569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22" customWidth="1" min="3" max="3"/>
    <col width="16" customWidth="1" min="4" max="4"/>
    <col width="14" customWidth="1" min="5" max="5"/>
  </cols>
  <sheetData>
    <row r="1" ht="28" customHeight="1">
      <c r="A1" s="1" t="inlineStr">
        <is>
          <t>QA Centre Est — Dr Mehdi Chennoufi</t>
        </is>
      </c>
    </row>
    <row r="2">
      <c r="A2" s="2" t="inlineStr">
        <is>
          <t>Checklist de recette  |  Prod : https://chennoufi.nav.ovh  |  Date : 2026-08-17</t>
        </is>
      </c>
    </row>
    <row r="4">
      <c r="A4" s="3" t="inlineStr">
        <is>
          <t>Comment utiliser</t>
        </is>
      </c>
    </row>
    <row r="5">
      <c r="A5" s="4" t="inlineStr">
        <is>
          <t>1. Ouvrir l'onglet Checklist QA
2. Pour chaque ligne : faire le test avec le RÔLE indiqué
3. Colonne Statut : choisir OK / KO / N/A / A retester (liste déroulante)
4. Si KO : noter le n° dossier (MC-…) et une capture dans Commentaire
5. Commencer par les priorités HAUTE (rouge)
6. Vérifier Gmail Boîte + Spam pour tous les emails</t>
        </is>
      </c>
    </row>
    <row r="6"/>
    <row r="7"/>
    <row r="8"/>
    <row r="9"/>
    <row r="10"/>
    <row r="12">
      <c r="A12" s="3" t="inlineStr">
        <is>
          <t>Comptes de test</t>
        </is>
      </c>
    </row>
    <row r="13">
      <c r="A13" s="5" t="inlineStr">
        <is>
          <t>Rôle</t>
        </is>
      </c>
      <c r="B13" s="5" t="inlineStr">
        <is>
          <t>Compte / email</t>
        </is>
      </c>
      <c r="C13" s="5" t="inlineStr">
        <is>
          <t>Notes</t>
        </is>
      </c>
    </row>
    <row r="14">
      <c r="A14" s="6" t="inlineStr">
        <is>
          <t>Houda (gestionnaire)</t>
        </is>
      </c>
      <c r="B14" s="6" t="inlineStr">
        <is>
          <t>houda.chennoufi.pb@gmail.com</t>
        </is>
      </c>
      <c r="C14" s="6" t="inlineStr">
        <is>
          <t>Emails rapport + abstention</t>
        </is>
      </c>
    </row>
    <row r="15">
      <c r="A15" s="6" t="inlineStr">
        <is>
          <t>Dr Chennoufi (médecin)</t>
        </is>
      </c>
      <c r="B15" s="6" t="inlineStr">
        <is>
          <t>dr.chennoufi@gmail.com</t>
        </is>
      </c>
      <c r="C15" s="6" t="inlineStr">
        <is>
          <t>Emails formulaire + demande rapport</t>
        </is>
      </c>
    </row>
    <row r="16">
      <c r="A16" s="6" t="inlineStr">
        <is>
          <t>Copie suivi (Sarra)</t>
        </is>
      </c>
      <c r="B16" s="6" t="inlineStr">
        <is>
          <t>bentardeitsarra3@gmail.com</t>
        </is>
      </c>
      <c r="C16" s="6" t="inlineStr">
        <is>
          <t>Copie des emails Dr et Houda</t>
        </is>
      </c>
    </row>
    <row r="17">
      <c r="A17" s="6" t="inlineStr">
        <is>
          <t>Patiente test</t>
        </is>
      </c>
      <c r="B17" s="6" t="inlineStr">
        <is>
          <t>(compte test avec un email que vous lisez)</t>
        </is>
      </c>
      <c r="C17" s="6" t="inlineStr">
        <is>
          <t>Emails devis / rappel / chat</t>
        </is>
      </c>
    </row>
    <row r="19">
      <c r="A19" s="3" t="inlineStr">
        <is>
          <t>Avancement (se met à jour tout seul)</t>
        </is>
      </c>
    </row>
    <row r="20">
      <c r="A20" s="7" t="inlineStr">
        <is>
          <t>Total tests</t>
        </is>
      </c>
      <c r="B20" s="8">
        <f>COUNTA('Checklist QA'!B2:B60)</f>
        <v/>
      </c>
    </row>
    <row r="21">
      <c r="A21" s="9" t="inlineStr">
        <is>
          <t>OK</t>
        </is>
      </c>
      <c r="B21" s="10">
        <f>COUNTIF('Checklist QA'!G:G,"OK")</f>
        <v/>
      </c>
    </row>
    <row r="22">
      <c r="A22" s="11" t="inlineStr">
        <is>
          <t>KO</t>
        </is>
      </c>
      <c r="B22" s="12">
        <f>COUNTIF('Checklist QA'!G:G,"KO")</f>
        <v/>
      </c>
    </row>
    <row r="23">
      <c r="A23" s="7" t="inlineStr">
        <is>
          <t>N/A</t>
        </is>
      </c>
      <c r="B23" s="8">
        <f>COUNTIF('Checklist QA'!G:G,"N/A")</f>
        <v/>
      </c>
    </row>
    <row r="24">
      <c r="A24" s="7" t="inlineStr">
        <is>
          <t>A retester</t>
        </is>
      </c>
      <c r="B24" s="8">
        <f>COUNTIF('Checklist QA'!G:G,"A retester")</f>
        <v/>
      </c>
    </row>
    <row r="25">
      <c r="A25" s="7" t="inlineStr">
        <is>
          <t>Restant (vide)</t>
        </is>
      </c>
      <c r="B25" s="8">
        <f>B20-B21-B22-B23-B24</f>
        <v/>
      </c>
    </row>
    <row r="26">
      <c r="A26" s="7" t="inlineStr">
        <is>
          <t>% OK (hors N/A)</t>
        </is>
      </c>
      <c r="B26" s="13">
        <f>IF((B20-B23)=0,"",B21/(B20-B23))</f>
        <v/>
      </c>
    </row>
    <row r="28">
      <c r="A28" s="3" t="inlineStr">
        <is>
          <t>Ordre conseillé</t>
        </is>
      </c>
    </row>
    <row r="29" ht="28" customHeight="1">
      <c r="A29" s="14" t="inlineStr">
        <is>
          <t>1) Devis PDF + envoi patiente (D)   2) 2e rapport (C)   3) Abstention (G)   4) Emails (H)   5) Chat (F)   6) Rappel (E)</t>
        </is>
      </c>
    </row>
    <row r="31">
      <c r="A31" s="3" t="inlineStr">
        <is>
          <t>Emails attendus (résumé)</t>
        </is>
      </c>
    </row>
    <row r="32">
      <c r="A32" s="5" t="inlineStr">
        <is>
          <t>Action</t>
        </is>
      </c>
      <c r="B32" s="5" t="inlineStr">
        <is>
          <t>Dr</t>
        </is>
      </c>
      <c r="C32" s="5" t="inlineStr">
        <is>
          <t>Houda</t>
        </is>
      </c>
      <c r="D32" s="5" t="inlineStr">
        <is>
          <t>Copie Sarra</t>
        </is>
      </c>
      <c r="E32" s="5" t="inlineStr">
        <is>
          <t>Patiente</t>
        </is>
      </c>
    </row>
    <row r="33">
      <c r="A33" s="15" t="inlineStr">
        <is>
          <t>Formulaire soumis</t>
        </is>
      </c>
      <c r="B33" s="16" t="inlineStr">
        <is>
          <t>x</t>
        </is>
      </c>
      <c r="C33" s="8" t="inlineStr"/>
      <c r="D33" s="16" t="inlineStr">
        <is>
          <t>x</t>
        </is>
      </c>
      <c r="E33" s="8" t="inlineStr"/>
    </row>
    <row r="34">
      <c r="A34" s="15" t="inlineStr">
        <is>
          <t>Demande nouveau rapport</t>
        </is>
      </c>
      <c r="B34" s="16" t="inlineStr">
        <is>
          <t>x</t>
        </is>
      </c>
      <c r="C34" s="8" t="inlineStr"/>
      <c r="D34" s="16" t="inlineStr">
        <is>
          <t>x</t>
        </is>
      </c>
      <c r="E34" s="8" t="inlineStr"/>
    </row>
    <row r="35">
      <c r="A35" s="15" t="inlineStr">
        <is>
          <t>Rapport / 2e rapport</t>
        </is>
      </c>
      <c r="B35" s="8" t="inlineStr"/>
      <c r="C35" s="16" t="inlineStr">
        <is>
          <t>x</t>
        </is>
      </c>
      <c r="D35" s="16" t="inlineStr">
        <is>
          <t>x</t>
        </is>
      </c>
      <c r="E35" s="8" t="inlineStr"/>
    </row>
    <row r="36">
      <c r="A36" s="15" t="inlineStr">
        <is>
          <t>Abstention (Dr)</t>
        </is>
      </c>
      <c r="B36" s="8" t="inlineStr"/>
      <c r="C36" s="16" t="inlineStr">
        <is>
          <t>x</t>
        </is>
      </c>
      <c r="D36" s="16" t="inlineStr">
        <is>
          <t>x</t>
        </is>
      </c>
      <c r="E36" s="8" t="inlineStr"/>
    </row>
    <row r="37">
      <c r="A37" s="15" t="inlineStr">
        <is>
          <t>Devis envoyé / rappel / chat équipe</t>
        </is>
      </c>
      <c r="B37" s="8" t="inlineStr"/>
      <c r="C37" s="8" t="inlineStr"/>
      <c r="D37" s="8" t="inlineStr"/>
      <c r="E37" s="16" t="inlineStr">
        <is>
          <t>x</t>
        </is>
      </c>
    </row>
  </sheetData>
  <mergeCells count="4">
    <mergeCell ref="A2:E2"/>
    <mergeCell ref="A5:E10"/>
    <mergeCell ref="A1:E1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52" customWidth="1" min="4" max="4"/>
    <col width="52" customWidth="1" min="5" max="5"/>
    <col width="12" customWidth="1" min="6" max="6"/>
    <col width="14" customWidth="1" min="7" max="7"/>
    <col width="14" customWidth="1" min="8" max="8"/>
    <col width="12" customWidth="1" min="9" max="9"/>
    <col width="32" customWidth="1" min="10" max="10"/>
  </cols>
  <sheetData>
    <row r="1" ht="28" customHeight="1">
      <c r="A1" s="17" t="inlineStr">
        <is>
          <t>Section</t>
        </is>
      </c>
      <c r="B1" s="17" t="inlineStr">
        <is>
          <t>ID</t>
        </is>
      </c>
      <c r="C1" s="17" t="inlineStr">
        <is>
          <t>Rôle</t>
        </is>
      </c>
      <c r="D1" s="17" t="inlineStr">
        <is>
          <t>Action à tester</t>
        </is>
      </c>
      <c r="E1" s="17" t="inlineStr">
        <is>
          <t>Résultat attendu</t>
        </is>
      </c>
      <c r="F1" s="17" t="inlineStr">
        <is>
          <t>Priorité</t>
        </is>
      </c>
      <c r="G1" s="17" t="inlineStr">
        <is>
          <t>Statut</t>
        </is>
      </c>
      <c r="H1" s="17" t="inlineStr">
        <is>
          <t>Testeur</t>
        </is>
      </c>
      <c r="I1" s="17" t="inlineStr">
        <is>
          <t>Date</t>
        </is>
      </c>
      <c r="J1" s="17" t="inlineStr">
        <is>
          <t>Commentaire / n° dossier</t>
        </is>
      </c>
    </row>
    <row r="2" ht="36" customHeight="1">
      <c r="A2" s="18" t="inlineStr">
        <is>
          <t>A. Session</t>
        </is>
      </c>
      <c r="B2" s="19" t="inlineStr">
        <is>
          <t>A1</t>
        </is>
      </c>
      <c r="C2" s="19" t="inlineStr">
        <is>
          <t>Tous</t>
        </is>
      </c>
      <c r="D2" s="20" t="inlineStr">
        <is>
          <t>Se connecter (Houda / Dr / patiente test)</t>
        </is>
      </c>
      <c r="E2" s="20" t="inlineStr">
        <is>
          <t>Connexion OK, tableau de bord s'affiche</t>
        </is>
      </c>
      <c r="F2" s="21" t="inlineStr">
        <is>
          <t>Haute</t>
        </is>
      </c>
      <c r="G2" s="19" t="inlineStr"/>
      <c r="H2" s="19" t="inlineStr"/>
      <c r="I2" s="19" t="inlineStr"/>
      <c r="J2" s="20" t="inlineStr"/>
    </row>
    <row r="3" ht="36" customHeight="1">
      <c r="A3" s="18" t="inlineStr">
        <is>
          <t>A. Session</t>
        </is>
      </c>
      <c r="B3" s="19" t="inlineStr">
        <is>
          <t>A2</t>
        </is>
      </c>
      <c r="C3" s="19" t="inlineStr">
        <is>
          <t>Tous</t>
        </is>
      </c>
      <c r="D3" s="20" t="inlineStr">
        <is>
          <t>Ctrl+F5 après déploiement</t>
        </is>
      </c>
      <c r="E3" s="20" t="inlineStr">
        <is>
          <t>Nouvelle version (pas d'ancien chat / ancien devis)</t>
        </is>
      </c>
      <c r="F3" s="21" t="inlineStr">
        <is>
          <t>Haute</t>
        </is>
      </c>
      <c r="G3" s="19" t="inlineStr"/>
      <c r="H3" s="19" t="inlineStr"/>
      <c r="I3" s="19" t="inlineStr"/>
      <c r="J3" s="20" t="inlineStr"/>
    </row>
    <row r="4" ht="36" customHeight="1">
      <c r="A4" s="18" t="inlineStr">
        <is>
          <t>A. Session</t>
        </is>
      </c>
      <c r="B4" s="19" t="inlineStr">
        <is>
          <t>A3</t>
        </is>
      </c>
      <c r="C4" s="19" t="inlineStr">
        <is>
          <t>Tous</t>
        </is>
      </c>
      <c r="D4" s="20" t="inlineStr">
        <is>
          <t>Session expirée (24 h) puis reconnexion</t>
        </is>
      </c>
      <c r="E4" s="20" t="inlineStr">
        <is>
          <t>Message session expirée, données toujours là</t>
        </is>
      </c>
      <c r="F4" s="22" t="inlineStr">
        <is>
          <t>Moyenne</t>
        </is>
      </c>
      <c r="G4" s="19" t="inlineStr"/>
      <c r="H4" s="19" t="inlineStr"/>
      <c r="I4" s="19" t="inlineStr"/>
      <c r="J4" s="20" t="inlineStr"/>
    </row>
    <row r="5" ht="36" customHeight="1">
      <c r="A5" s="23" t="inlineStr">
        <is>
          <t>B. Formulaire patiente</t>
        </is>
      </c>
      <c r="B5" s="24" t="inlineStr">
        <is>
          <t>B1</t>
        </is>
      </c>
      <c r="C5" s="24" t="inlineStr">
        <is>
          <t>Patiente</t>
        </is>
      </c>
      <c r="D5" s="25" t="inlineStr">
        <is>
          <t>Remplir et soumettre le formulaire</t>
        </is>
      </c>
      <c r="E5" s="25" t="inlineStr">
        <is>
          <t>Formulaire envoyé, statut Form. complété</t>
        </is>
      </c>
      <c r="F5" s="21" t="inlineStr">
        <is>
          <t>Haute</t>
        </is>
      </c>
      <c r="G5" s="24" t="inlineStr"/>
      <c r="H5" s="24" t="inlineStr"/>
      <c r="I5" s="24" t="inlineStr"/>
      <c r="J5" s="25" t="inlineStr"/>
    </row>
    <row r="6" ht="36" customHeight="1">
      <c r="A6" s="23" t="inlineStr">
        <is>
          <t>B. Formulaire patiente</t>
        </is>
      </c>
      <c r="B6" s="24" t="inlineStr">
        <is>
          <t>B2</t>
        </is>
      </c>
      <c r="C6" s="24" t="inlineStr">
        <is>
          <t>Patiente</t>
        </is>
      </c>
      <c r="D6" s="25" t="inlineStr">
        <is>
          <t>Vérifier période souhaitée (mois / année)</t>
        </is>
      </c>
      <c r="E6" s="25" t="inlineStr">
        <is>
          <t>Champ présent, valeur enregistrée</t>
        </is>
      </c>
      <c r="F6" s="21" t="inlineStr">
        <is>
          <t>Haute</t>
        </is>
      </c>
      <c r="G6" s="24" t="inlineStr"/>
      <c r="H6" s="24" t="inlineStr"/>
      <c r="I6" s="24" t="inlineStr"/>
      <c r="J6" s="25" t="inlineStr"/>
    </row>
    <row r="7" ht="36" customHeight="1">
      <c r="A7" s="23" t="inlineStr">
        <is>
          <t>B. Formulaire patiente</t>
        </is>
      </c>
      <c r="B7" s="24" t="inlineStr">
        <is>
          <t>B3</t>
        </is>
      </c>
      <c r="C7" s="24" t="inlineStr">
        <is>
          <t>Patiente</t>
        </is>
      </c>
      <c r="D7" s="25" t="inlineStr">
        <is>
          <t>Vérifier description / attentes</t>
        </is>
      </c>
      <c r="E7" s="25" t="inlineStr">
        <is>
          <t>UN SEUL champ (pas de doublon attente + description)</t>
        </is>
      </c>
      <c r="F7" s="21" t="inlineStr">
        <is>
          <t>Haute</t>
        </is>
      </c>
      <c r="G7" s="24" t="inlineStr"/>
      <c r="H7" s="24" t="inlineStr"/>
      <c r="I7" s="24" t="inlineStr"/>
      <c r="J7" s="25" t="inlineStr"/>
    </row>
    <row r="8" ht="36" customHeight="1">
      <c r="A8" s="23" t="inlineStr">
        <is>
          <t>B. Formulaire patiente</t>
        </is>
      </c>
      <c r="B8" s="24" t="inlineStr">
        <is>
          <t>B4</t>
        </is>
      </c>
      <c r="C8" s="24" t="inlineStr">
        <is>
          <t>Dr</t>
        </is>
      </c>
      <c r="D8" s="25" t="inlineStr">
        <is>
          <t>Boîte mail + spam après soumission</t>
        </is>
      </c>
      <c r="E8" s="25" t="inlineStr">
        <is>
          <t>Email : Nouveau formulaire patient soumis</t>
        </is>
      </c>
      <c r="F8" s="21" t="inlineStr">
        <is>
          <t>Haute</t>
        </is>
      </c>
      <c r="G8" s="24" t="inlineStr"/>
      <c r="H8" s="24" t="inlineStr"/>
      <c r="I8" s="24" t="inlineStr"/>
      <c r="J8" s="25" t="inlineStr"/>
    </row>
    <row r="9" ht="36" customHeight="1">
      <c r="A9" s="23" t="inlineStr">
        <is>
          <t>B. Formulaire patiente</t>
        </is>
      </c>
      <c r="B9" s="24" t="inlineStr">
        <is>
          <t>B5</t>
        </is>
      </c>
      <c r="C9" s="24" t="inlineStr">
        <is>
          <t>Dr</t>
        </is>
      </c>
      <c r="D9" s="25" t="inlineStr">
        <is>
          <t>Cloche Notifications</t>
        </is>
      </c>
      <c r="E9" s="25" t="inlineStr">
        <is>
          <t>Même notification in-app</t>
        </is>
      </c>
      <c r="F9" s="22" t="inlineStr">
        <is>
          <t>Moyenne</t>
        </is>
      </c>
      <c r="G9" s="24" t="inlineStr"/>
      <c r="H9" s="24" t="inlineStr"/>
      <c r="I9" s="24" t="inlineStr"/>
      <c r="J9" s="25" t="inlineStr"/>
    </row>
    <row r="10" ht="36" customHeight="1">
      <c r="A10" s="26" t="inlineStr">
        <is>
          <t>C. Rapport médecin</t>
        </is>
      </c>
      <c r="B10" s="27" t="inlineStr">
        <is>
          <t>C1</t>
        </is>
      </c>
      <c r="C10" s="27" t="inlineStr">
        <is>
          <t>Dr</t>
        </is>
      </c>
      <c r="D10" s="28" t="inlineStr">
        <is>
          <t>Ouvrir dossier &gt; onglet Rapport</t>
        </is>
      </c>
      <c r="E10" s="28" t="inlineStr">
        <is>
          <t>Formulaire visible, édition rapport possible</t>
        </is>
      </c>
      <c r="F10" s="21" t="inlineStr">
        <is>
          <t>Haute</t>
        </is>
      </c>
      <c r="G10" s="27" t="inlineStr"/>
      <c r="H10" s="27" t="inlineStr"/>
      <c r="I10" s="27" t="inlineStr"/>
      <c r="J10" s="28" t="inlineStr"/>
    </row>
    <row r="11" ht="36" customHeight="1">
      <c r="A11" s="26" t="inlineStr">
        <is>
          <t>C. Rapport médecin</t>
        </is>
      </c>
      <c r="B11" s="27" t="inlineStr">
        <is>
          <t>C2</t>
        </is>
      </c>
      <c r="C11" s="27" t="inlineStr">
        <is>
          <t>Dr</t>
        </is>
      </c>
      <c r="D11" s="28" t="inlineStr">
        <is>
          <t>Drainage oui/non ; si oui nombre de séances</t>
        </is>
      </c>
      <c r="E11" s="28" t="inlineStr">
        <is>
          <t>Champs obligatoires, enregistrement OK</t>
        </is>
      </c>
      <c r="F11" s="21" t="inlineStr">
        <is>
          <t>Haute</t>
        </is>
      </c>
      <c r="G11" s="27" t="inlineStr"/>
      <c r="H11" s="27" t="inlineStr"/>
      <c r="I11" s="27" t="inlineStr"/>
      <c r="J11" s="28" t="inlineStr"/>
    </row>
    <row r="12" ht="36" customHeight="1">
      <c r="A12" s="26" t="inlineStr">
        <is>
          <t>C. Rapport médecin</t>
        </is>
      </c>
      <c r="B12" s="27" t="inlineStr">
        <is>
          <t>C3</t>
        </is>
      </c>
      <c r="C12" s="27" t="inlineStr">
        <is>
          <t>Dr</t>
        </is>
      </c>
      <c r="D12" s="28" t="inlineStr">
        <is>
          <t>Vêtement de contention</t>
        </is>
      </c>
      <c r="E12" s="28" t="inlineStr">
        <is>
          <t>Champ obligatoire</t>
        </is>
      </c>
      <c r="F12" s="21" t="inlineStr">
        <is>
          <t>Haute</t>
        </is>
      </c>
      <c r="G12" s="27" t="inlineStr"/>
      <c r="H12" s="27" t="inlineStr"/>
      <c r="I12" s="27" t="inlineStr"/>
      <c r="J12" s="28" t="inlineStr"/>
    </row>
    <row r="13" ht="36" customHeight="1">
      <c r="A13" s="26" t="inlineStr">
        <is>
          <t>C. Rapport médecin</t>
        </is>
      </c>
      <c r="B13" s="27" t="inlineStr">
        <is>
          <t>C4</t>
        </is>
      </c>
      <c r="C13" s="27" t="inlineStr">
        <is>
          <t>Dr</t>
        </is>
      </c>
      <c r="D13" s="28" t="inlineStr">
        <is>
          <t>Enregistrer le 1er rapport</t>
        </is>
      </c>
      <c r="E13" s="28" t="inlineStr">
        <is>
          <t>Statut Rapport généré (côté Dr et Houda)</t>
        </is>
      </c>
      <c r="F13" s="21" t="inlineStr">
        <is>
          <t>Haute</t>
        </is>
      </c>
      <c r="G13" s="27" t="inlineStr"/>
      <c r="H13" s="27" t="inlineStr"/>
      <c r="I13" s="27" t="inlineStr"/>
      <c r="J13" s="28" t="inlineStr"/>
    </row>
    <row r="14" ht="36" customHeight="1">
      <c r="A14" s="26" t="inlineStr">
        <is>
          <t>C. Rapport médecin</t>
        </is>
      </c>
      <c r="B14" s="27" t="inlineStr">
        <is>
          <t>C5</t>
        </is>
      </c>
      <c r="C14" s="27" t="inlineStr">
        <is>
          <t>Houda</t>
        </is>
      </c>
      <c r="D14" s="28" t="inlineStr">
        <is>
          <t>Email + spam</t>
        </is>
      </c>
      <c r="E14" s="28" t="inlineStr">
        <is>
          <t>Email rapport médical généré</t>
        </is>
      </c>
      <c r="F14" s="21" t="inlineStr">
        <is>
          <t>Haute</t>
        </is>
      </c>
      <c r="G14" s="27" t="inlineStr"/>
      <c r="H14" s="27" t="inlineStr"/>
      <c r="I14" s="27" t="inlineStr"/>
      <c r="J14" s="28" t="inlineStr"/>
    </row>
    <row r="15" ht="36" customHeight="1">
      <c r="A15" s="26" t="inlineStr">
        <is>
          <t>C. Rapport médecin</t>
        </is>
      </c>
      <c r="B15" s="27" t="inlineStr">
        <is>
          <t>C6</t>
        </is>
      </c>
      <c r="C15" s="27" t="inlineStr">
        <is>
          <t>Houda</t>
        </is>
      </c>
      <c r="D15" s="28" t="inlineStr">
        <is>
          <t>Liste Patients &gt; Non traités</t>
        </is>
      </c>
      <c r="E15" s="28" t="inlineStr">
        <is>
          <t>Dossier apparaît (plus dans Traités / Devis envoyé)</t>
        </is>
      </c>
      <c r="F15" s="21" t="inlineStr">
        <is>
          <t>Haute</t>
        </is>
      </c>
      <c r="G15" s="27" t="inlineStr"/>
      <c r="H15" s="27" t="inlineStr"/>
      <c r="I15" s="27" t="inlineStr"/>
      <c r="J15" s="28" t="inlineStr"/>
    </row>
    <row r="16" ht="36" customHeight="1">
      <c r="A16" s="29" t="inlineStr">
        <is>
          <t>C. 2e rapport</t>
        </is>
      </c>
      <c r="B16" s="30" t="inlineStr">
        <is>
          <t>C7</t>
        </is>
      </c>
      <c r="C16" s="30" t="inlineStr">
        <is>
          <t>Dr</t>
        </is>
      </c>
      <c r="D16" s="31" t="inlineStr">
        <is>
          <t>Bouton Nouveau rapport (ne pas écraser R1)</t>
        </is>
      </c>
      <c r="E16" s="31" t="inlineStr">
        <is>
          <t>R1 archivé, R2 en édition</t>
        </is>
      </c>
      <c r="F16" s="21" t="inlineStr">
        <is>
          <t>Haute</t>
        </is>
      </c>
      <c r="G16" s="30" t="inlineStr"/>
      <c r="H16" s="30" t="inlineStr"/>
      <c r="I16" s="30" t="inlineStr"/>
      <c r="J16" s="31" t="inlineStr"/>
    </row>
    <row r="17" ht="36" customHeight="1">
      <c r="A17" s="29" t="inlineStr">
        <is>
          <t>C. 2e rapport</t>
        </is>
      </c>
      <c r="B17" s="30" t="inlineStr">
        <is>
          <t>C8</t>
        </is>
      </c>
      <c r="C17" s="30" t="inlineStr">
        <is>
          <t>Dr</t>
        </is>
      </c>
      <c r="D17" s="31" t="inlineStr">
        <is>
          <t>Enregistrer R2</t>
        </is>
      </c>
      <c r="E17" s="31" t="inlineStr">
        <is>
          <t>Badge 2e rapport généré</t>
        </is>
      </c>
      <c r="F17" s="21" t="inlineStr">
        <is>
          <t>Haute</t>
        </is>
      </c>
      <c r="G17" s="30" t="inlineStr"/>
      <c r="H17" s="30" t="inlineStr"/>
      <c r="I17" s="30" t="inlineStr"/>
      <c r="J17" s="31" t="inlineStr"/>
    </row>
    <row r="18" ht="36" customHeight="1">
      <c r="A18" s="29" t="inlineStr">
        <is>
          <t>C. 2e rapport</t>
        </is>
      </c>
      <c r="B18" s="30" t="inlineStr">
        <is>
          <t>C9</t>
        </is>
      </c>
      <c r="C18" s="30" t="inlineStr">
        <is>
          <t>Houda</t>
        </is>
      </c>
      <c r="D18" s="31" t="inlineStr">
        <is>
          <t>Chat onglet Dr</t>
        </is>
      </c>
      <c r="E18" s="31" t="inlineStr">
        <is>
          <t>Message interne + bouton Ouvrir le dossier</t>
        </is>
      </c>
      <c r="F18" s="21" t="inlineStr">
        <is>
          <t>Haute</t>
        </is>
      </c>
      <c r="G18" s="30" t="inlineStr"/>
      <c r="H18" s="30" t="inlineStr"/>
      <c r="I18" s="30" t="inlineStr"/>
      <c r="J18" s="31" t="inlineStr"/>
    </row>
    <row r="19" ht="36" customHeight="1">
      <c r="A19" s="29" t="inlineStr">
        <is>
          <t>C. 2e rapport</t>
        </is>
      </c>
      <c r="B19" s="30" t="inlineStr">
        <is>
          <t>C10</t>
        </is>
      </c>
      <c r="C19" s="30" t="inlineStr">
        <is>
          <t>Houda</t>
        </is>
      </c>
      <c r="D19" s="31" t="inlineStr">
        <is>
          <t>Email + spam</t>
        </is>
      </c>
      <c r="E19" s="31" t="inlineStr">
        <is>
          <t>Email 2e rapport / nouveau rapport</t>
        </is>
      </c>
      <c r="F19" s="21" t="inlineStr">
        <is>
          <t>Haute</t>
        </is>
      </c>
      <c r="G19" s="30" t="inlineStr"/>
      <c r="H19" s="30" t="inlineStr"/>
      <c r="I19" s="30" t="inlineStr"/>
      <c r="J19" s="31" t="inlineStr"/>
    </row>
    <row r="20" ht="36" customHeight="1">
      <c r="A20" s="29" t="inlineStr">
        <is>
          <t>C. 2e rapport</t>
        </is>
      </c>
      <c r="B20" s="30" t="inlineStr">
        <is>
          <t>C11</t>
        </is>
      </c>
      <c r="C20" s="30" t="inlineStr">
        <is>
          <t>Houda</t>
        </is>
      </c>
      <c r="D20" s="31" t="inlineStr">
        <is>
          <t>Devis du dossier</t>
        </is>
      </c>
      <c r="E20" s="31" t="inlineStr">
        <is>
          <t>v1 toujours présente, pas supprimée</t>
        </is>
      </c>
      <c r="F20" s="21" t="inlineStr">
        <is>
          <t>Haute</t>
        </is>
      </c>
      <c r="G20" s="30" t="inlineStr"/>
      <c r="H20" s="30" t="inlineStr"/>
      <c r="I20" s="30" t="inlineStr"/>
      <c r="J20" s="31" t="inlineStr"/>
    </row>
    <row r="21" ht="36" customHeight="1">
      <c r="A21" s="32" t="inlineStr">
        <is>
          <t>D. Devis Houda</t>
        </is>
      </c>
      <c r="B21" s="33" t="inlineStr">
        <is>
          <t>D1</t>
        </is>
      </c>
      <c r="C21" s="33" t="inlineStr">
        <is>
          <t>Houda</t>
        </is>
      </c>
      <c r="D21" s="34" t="inlineStr">
        <is>
          <t>Ouvrir le dossier (Non traités / 2e rapport)</t>
        </is>
      </c>
      <c r="E21" s="34" t="inlineStr">
        <is>
          <t>Fiche devis, bandeau nouveau rapport si R2</t>
        </is>
      </c>
      <c r="F21" s="21" t="inlineStr">
        <is>
          <t>Haute</t>
        </is>
      </c>
      <c r="G21" s="33" t="inlineStr"/>
      <c r="H21" s="33" t="inlineStr"/>
      <c r="I21" s="33" t="inlineStr"/>
      <c r="J21" s="34" t="inlineStr"/>
    </row>
    <row r="22" ht="36" customHeight="1">
      <c r="A22" s="32" t="inlineStr">
        <is>
          <t>D. Devis Houda</t>
        </is>
      </c>
      <c r="B22" s="33" t="inlineStr">
        <is>
          <t>D2</t>
        </is>
      </c>
      <c r="C22" s="33" t="inlineStr">
        <is>
          <t>Houda</t>
        </is>
      </c>
      <c r="D22" s="34" t="inlineStr">
        <is>
          <t>Clinique retenue</t>
        </is>
      </c>
      <c r="E22" s="34" t="inlineStr">
        <is>
          <t>Champ obligatoire, blocage si vide à l'envoi</t>
        </is>
      </c>
      <c r="F22" s="21" t="inlineStr">
        <is>
          <t>Haute</t>
        </is>
      </c>
      <c r="G22" s="33" t="inlineStr"/>
      <c r="H22" s="33" t="inlineStr"/>
      <c r="I22" s="33" t="inlineStr"/>
      <c r="J22" s="34" t="inlineStr"/>
    </row>
    <row r="23" ht="36" customHeight="1">
      <c r="A23" s="32" t="inlineStr">
        <is>
          <t>D. Devis Houda</t>
        </is>
      </c>
      <c r="B23" s="33" t="inlineStr">
        <is>
          <t>D3</t>
        </is>
      </c>
      <c r="C23" s="33" t="inlineStr">
        <is>
          <t>Houda</t>
        </is>
      </c>
      <c r="D23" s="34" t="inlineStr">
        <is>
          <t>Hôtel</t>
        </is>
      </c>
      <c r="E23" s="34" t="inlineStr">
        <is>
          <t>Champ obligatoire, blocage si vide à l'envoi</t>
        </is>
      </c>
      <c r="F23" s="21" t="inlineStr">
        <is>
          <t>Haute</t>
        </is>
      </c>
      <c r="G23" s="33" t="inlineStr"/>
      <c r="H23" s="33" t="inlineStr"/>
      <c r="I23" s="33" t="inlineStr"/>
      <c r="J23" s="34" t="inlineStr"/>
    </row>
    <row r="24" ht="36" customHeight="1">
      <c r="A24" s="32" t="inlineStr">
        <is>
          <t>D. Devis Houda</t>
        </is>
      </c>
      <c r="B24" s="33" t="inlineStr">
        <is>
          <t>D4</t>
        </is>
      </c>
      <c r="C24" s="33" t="inlineStr">
        <is>
          <t>Houda</t>
        </is>
      </c>
      <c r="D24" s="34" t="inlineStr">
        <is>
          <t>Services inclus cochables</t>
        </is>
      </c>
      <c r="E24" s="34" t="inlineStr">
        <is>
          <t>Soins infirmiers à l'hôtel, contention, etc.</t>
        </is>
      </c>
      <c r="F24" s="21" t="inlineStr">
        <is>
          <t>Haute</t>
        </is>
      </c>
      <c r="G24" s="33" t="inlineStr"/>
      <c r="H24" s="33" t="inlineStr"/>
      <c r="I24" s="33" t="inlineStr"/>
      <c r="J24" s="34" t="inlineStr"/>
    </row>
    <row r="25" ht="36" customHeight="1">
      <c r="A25" s="32" t="inlineStr">
        <is>
          <t>D. Devis Houda</t>
        </is>
      </c>
      <c r="B25" s="33" t="inlineStr">
        <is>
          <t>D5</t>
        </is>
      </c>
      <c r="C25" s="33" t="inlineStr">
        <is>
          <t>Houda</t>
        </is>
      </c>
      <c r="D25" s="34" t="inlineStr">
        <is>
          <t>Drainage : nombre ajustable</t>
        </is>
      </c>
      <c r="E25" s="34" t="inlineStr">
        <is>
          <t>Valeur modifiable, reportée PDF</t>
        </is>
      </c>
      <c r="F25" s="21" t="inlineStr">
        <is>
          <t>Haute</t>
        </is>
      </c>
      <c r="G25" s="33" t="inlineStr"/>
      <c r="H25" s="33" t="inlineStr"/>
      <c r="I25" s="33" t="inlineStr"/>
      <c r="J25" s="34" t="inlineStr"/>
    </row>
    <row r="26" ht="36" customHeight="1">
      <c r="A26" s="32" t="inlineStr">
        <is>
          <t>D. Devis Houda</t>
        </is>
      </c>
      <c r="B26" s="33" t="inlineStr">
        <is>
          <t>D6</t>
        </is>
      </c>
      <c r="C26" s="33" t="inlineStr">
        <is>
          <t>Houda</t>
        </is>
      </c>
      <c r="D26" s="34" t="inlineStr">
        <is>
          <t>Vêtement de contention : champ détail</t>
        </is>
      </c>
      <c r="E26" s="34" t="inlineStr">
        <is>
          <t>Plus seulement « à préciser », texte libre</t>
        </is>
      </c>
      <c r="F26" s="21" t="inlineStr">
        <is>
          <t>Haute</t>
        </is>
      </c>
      <c r="G26" s="33" t="inlineStr"/>
      <c r="H26" s="33" t="inlineStr"/>
      <c r="I26" s="33" t="inlineStr"/>
      <c r="J26" s="34" t="inlineStr"/>
    </row>
    <row r="27" ht="36" customHeight="1">
      <c r="A27" s="32" t="inlineStr">
        <is>
          <t>D. Devis Houda</t>
        </is>
      </c>
      <c r="B27" s="33" t="inlineStr">
        <is>
          <t>D7</t>
        </is>
      </c>
      <c r="C27" s="33" t="inlineStr">
        <is>
          <t>Houda</t>
        </is>
      </c>
      <c r="D27" s="34" t="inlineStr">
        <is>
          <t>Exporter PDF</t>
        </is>
      </c>
      <c r="E27" s="34" t="inlineStr">
        <is>
          <t>Nom complet + n° dossier ; n° devis UNE fois au centre</t>
        </is>
      </c>
      <c r="F27" s="21" t="inlineStr">
        <is>
          <t>Haute</t>
        </is>
      </c>
      <c r="G27" s="33" t="inlineStr"/>
      <c r="H27" s="33" t="inlineStr"/>
      <c r="I27" s="33" t="inlineStr"/>
      <c r="J27" s="34" t="inlineStr"/>
    </row>
    <row r="28" ht="36" customHeight="1">
      <c r="A28" s="32" t="inlineStr">
        <is>
          <t>D. Devis Houda</t>
        </is>
      </c>
      <c r="B28" s="33" t="inlineStr">
        <is>
          <t>D8</t>
        </is>
      </c>
      <c r="C28" s="33" t="inlineStr">
        <is>
          <t>Houda</t>
        </is>
      </c>
      <c r="D28" s="34" t="inlineStr">
        <is>
          <t>PDF : séjour</t>
        </is>
      </c>
      <c r="E28" s="34" t="inlineStr">
        <is>
          <t>Total séjour en nuits ; PAS de durée d'intervention</t>
        </is>
      </c>
      <c r="F28" s="21" t="inlineStr">
        <is>
          <t>Haute</t>
        </is>
      </c>
      <c r="G28" s="33" t="inlineStr"/>
      <c r="H28" s="33" t="inlineStr"/>
      <c r="I28" s="33" t="inlineStr"/>
      <c r="J28" s="34" t="inlineStr"/>
    </row>
    <row r="29" ht="36" customHeight="1">
      <c r="A29" s="32" t="inlineStr">
        <is>
          <t>D. Devis Houda</t>
        </is>
      </c>
      <c r="B29" s="33" t="inlineStr">
        <is>
          <t>D9</t>
        </is>
      </c>
      <c r="C29" s="33" t="inlineStr">
        <is>
          <t>Houda</t>
        </is>
      </c>
      <c r="D29" s="34" t="inlineStr">
        <is>
          <t>PDF : examens</t>
        </is>
      </c>
      <c r="E29" s="34" t="inlineStr">
        <is>
          <t>Gras, couleurs, numérotés</t>
        </is>
      </c>
      <c r="F29" s="22" t="inlineStr">
        <is>
          <t>Moyenne</t>
        </is>
      </c>
      <c r="G29" s="33" t="inlineStr"/>
      <c r="H29" s="33" t="inlineStr"/>
      <c r="I29" s="33" t="inlineStr"/>
      <c r="J29" s="34" t="inlineStr"/>
    </row>
    <row r="30" ht="36" customHeight="1">
      <c r="A30" s="32" t="inlineStr">
        <is>
          <t>D. Devis Houda</t>
        </is>
      </c>
      <c r="B30" s="33" t="inlineStr">
        <is>
          <t>D10</t>
        </is>
      </c>
      <c r="C30" s="33" t="inlineStr">
        <is>
          <t>Houda</t>
        </is>
      </c>
      <c r="D30" s="34" t="inlineStr">
        <is>
          <t>Bouton Envoyer</t>
        </is>
      </c>
      <c r="E30" s="34" t="inlineStr">
        <is>
          <t>Succès, statut Devis envoyé</t>
        </is>
      </c>
      <c r="F30" s="21" t="inlineStr">
        <is>
          <t>Haute</t>
        </is>
      </c>
      <c r="G30" s="33" t="inlineStr"/>
      <c r="H30" s="33" t="inlineStr"/>
      <c r="I30" s="33" t="inlineStr"/>
      <c r="J30" s="34" t="inlineStr"/>
    </row>
    <row r="31" ht="36" customHeight="1">
      <c r="A31" s="32" t="inlineStr">
        <is>
          <t>D. Devis Houda</t>
        </is>
      </c>
      <c r="B31" s="33" t="inlineStr">
        <is>
          <t>D11</t>
        </is>
      </c>
      <c r="C31" s="33" t="inlineStr">
        <is>
          <t>Patiente</t>
        </is>
      </c>
      <c r="D31" s="34" t="inlineStr">
        <is>
          <t>Espace Devis</t>
        </is>
      </c>
      <c r="E31" s="34" t="inlineStr">
        <is>
          <t>PDF uniquement (pas le tableau détaillé)</t>
        </is>
      </c>
      <c r="F31" s="21" t="inlineStr">
        <is>
          <t>Haute</t>
        </is>
      </c>
      <c r="G31" s="33" t="inlineStr"/>
      <c r="H31" s="33" t="inlineStr"/>
      <c r="I31" s="33" t="inlineStr"/>
      <c r="J31" s="34" t="inlineStr"/>
    </row>
    <row r="32" ht="36" customHeight="1">
      <c r="A32" s="32" t="inlineStr">
        <is>
          <t>D. Devis Houda</t>
        </is>
      </c>
      <c r="B32" s="33" t="inlineStr">
        <is>
          <t>D12</t>
        </is>
      </c>
      <c r="C32" s="33" t="inlineStr">
        <is>
          <t>Patiente</t>
        </is>
      </c>
      <c r="D32" s="34" t="inlineStr">
        <is>
          <t>Chat</t>
        </is>
      </c>
      <c r="E32" s="34" t="inlineStr">
        <is>
          <t>Message type Houda + PDF en pièce jointe</t>
        </is>
      </c>
      <c r="F32" s="21" t="inlineStr">
        <is>
          <t>Haute</t>
        </is>
      </c>
      <c r="G32" s="33" t="inlineStr"/>
      <c r="H32" s="33" t="inlineStr"/>
      <c r="I32" s="33" t="inlineStr"/>
      <c r="J32" s="34" t="inlineStr"/>
    </row>
    <row r="33" ht="36" customHeight="1">
      <c r="A33" s="32" t="inlineStr">
        <is>
          <t>D. Devis Houda</t>
        </is>
      </c>
      <c r="B33" s="33" t="inlineStr">
        <is>
          <t>D13</t>
        </is>
      </c>
      <c r="C33" s="33" t="inlineStr">
        <is>
          <t>Patiente</t>
        </is>
      </c>
      <c r="D33" s="34" t="inlineStr">
        <is>
          <t>Email + spam</t>
        </is>
      </c>
      <c r="E33" s="34" t="inlineStr">
        <is>
          <t>Email devis prêt / consulter l'espace</t>
        </is>
      </c>
      <c r="F33" s="21" t="inlineStr">
        <is>
          <t>Haute</t>
        </is>
      </c>
      <c r="G33" s="33" t="inlineStr"/>
      <c r="H33" s="33" t="inlineStr"/>
      <c r="I33" s="33" t="inlineStr"/>
      <c r="J33" s="34" t="inlineStr"/>
    </row>
    <row r="34" ht="36" customHeight="1">
      <c r="A34" s="35" t="inlineStr">
        <is>
          <t>D. Versions</t>
        </is>
      </c>
      <c r="B34" s="36" t="inlineStr">
        <is>
          <t>D14</t>
        </is>
      </c>
      <c r="C34" s="36" t="inlineStr">
        <is>
          <t>Houda</t>
        </is>
      </c>
      <c r="D34" s="37" t="inlineStr">
        <is>
          <t>Écrire au Dr Chennoufi (demande nouveau rapport)</t>
        </is>
      </c>
      <c r="E34" s="37" t="inlineStr">
        <is>
          <t>Dr reçoit chat interne + email ; v1 conservée</t>
        </is>
      </c>
      <c r="F34" s="21" t="inlineStr">
        <is>
          <t>Haute</t>
        </is>
      </c>
      <c r="G34" s="36" t="inlineStr"/>
      <c r="H34" s="36" t="inlineStr"/>
      <c r="I34" s="36" t="inlineStr"/>
      <c r="J34" s="37" t="inlineStr"/>
    </row>
    <row r="35" ht="36" customHeight="1">
      <c r="A35" s="35" t="inlineStr">
        <is>
          <t>D. Versions</t>
        </is>
      </c>
      <c r="B35" s="36" t="inlineStr">
        <is>
          <t>D15</t>
        </is>
      </c>
      <c r="C35" s="36" t="inlineStr">
        <is>
          <t>Houda</t>
        </is>
      </c>
      <c r="D35" s="37" t="inlineStr">
        <is>
          <t>Créer un 2e devis après R2</t>
        </is>
      </c>
      <c r="E35" s="37" t="inlineStr">
        <is>
          <t>v1 et v2 coexistent</t>
        </is>
      </c>
      <c r="F35" s="21" t="inlineStr">
        <is>
          <t>Haute</t>
        </is>
      </c>
      <c r="G35" s="36" t="inlineStr"/>
      <c r="H35" s="36" t="inlineStr"/>
      <c r="I35" s="36" t="inlineStr"/>
      <c r="J35" s="37" t="inlineStr"/>
    </row>
    <row r="36" ht="36" customHeight="1">
      <c r="A36" s="35" t="inlineStr">
        <is>
          <t>D. Versions</t>
        </is>
      </c>
      <c r="B36" s="36" t="inlineStr">
        <is>
          <t>D16</t>
        </is>
      </c>
      <c r="C36" s="36" t="inlineStr">
        <is>
          <t>Houda</t>
        </is>
      </c>
      <c r="D36" s="37" t="inlineStr">
        <is>
          <t>Supprimer une fausse version</t>
        </is>
      </c>
      <c r="E36" s="37" t="inlineStr">
        <is>
          <t>Disparaît côté patiente et chat ; autres versions OK</t>
        </is>
      </c>
      <c r="F36" s="21" t="inlineStr">
        <is>
          <t>Haute</t>
        </is>
      </c>
      <c r="G36" s="36" t="inlineStr"/>
      <c r="H36" s="36" t="inlineStr"/>
      <c r="I36" s="36" t="inlineStr"/>
      <c r="J36" s="37" t="inlineStr"/>
    </row>
    <row r="37" ht="36" customHeight="1">
      <c r="A37" s="38" t="inlineStr">
        <is>
          <t>E. Rappel 72h</t>
        </is>
      </c>
      <c r="B37" s="39" t="inlineStr">
        <is>
          <t>E1</t>
        </is>
      </c>
      <c r="C37" s="39" t="inlineStr">
        <is>
          <t>Houda</t>
        </is>
      </c>
      <c r="D37" s="40" t="inlineStr">
        <is>
          <t>Bouton Rappel manuel</t>
        </is>
      </c>
      <c r="E37" s="40" t="inlineStr">
        <is>
          <t>Chat patiente : texte rappel Houda + PDF</t>
        </is>
      </c>
      <c r="F37" s="21" t="inlineStr">
        <is>
          <t>Haute</t>
        </is>
      </c>
      <c r="G37" s="39" t="inlineStr"/>
      <c r="H37" s="39" t="inlineStr"/>
      <c r="I37" s="39" t="inlineStr"/>
      <c r="J37" s="40" t="inlineStr"/>
    </row>
    <row r="38" ht="36" customHeight="1">
      <c r="A38" s="38" t="inlineStr">
        <is>
          <t>E. Rappel 72h</t>
        </is>
      </c>
      <c r="B38" s="39" t="inlineStr">
        <is>
          <t>E2</t>
        </is>
      </c>
      <c r="C38" s="39" t="inlineStr">
        <is>
          <t>Patiente</t>
        </is>
      </c>
      <c r="D38" s="40" t="inlineStr">
        <is>
          <t>Email + spam après rappel</t>
        </is>
      </c>
      <c r="E38" s="40" t="inlineStr">
        <is>
          <t>Email rappel reçu</t>
        </is>
      </c>
      <c r="F38" s="21" t="inlineStr">
        <is>
          <t>Haute</t>
        </is>
      </c>
      <c r="G38" s="39" t="inlineStr"/>
      <c r="H38" s="39" t="inlineStr"/>
      <c r="I38" s="39" t="inlineStr"/>
      <c r="J38" s="40" t="inlineStr"/>
    </row>
    <row r="39" ht="36" customHeight="1">
      <c r="A39" s="38" t="inlineStr">
        <is>
          <t>E. Rappel 72h</t>
        </is>
      </c>
      <c r="B39" s="39" t="inlineStr">
        <is>
          <t>E3</t>
        </is>
      </c>
      <c r="C39" s="39" t="inlineStr">
        <is>
          <t>Système</t>
        </is>
      </c>
      <c r="D39" s="40" t="inlineStr">
        <is>
          <t>Attendre 72 h sans réponse (ou noter pour plus tard)</t>
        </is>
      </c>
      <c r="E39" s="40" t="inlineStr">
        <is>
          <t>Rappel auto envoyé une seule fois, pas de doublon</t>
        </is>
      </c>
      <c r="F39" s="22" t="inlineStr">
        <is>
          <t>Moyenne</t>
        </is>
      </c>
      <c r="G39" s="39" t="inlineStr"/>
      <c r="H39" s="39" t="inlineStr"/>
      <c r="I39" s="39" t="inlineStr"/>
      <c r="J39" s="40" t="inlineStr"/>
    </row>
    <row r="40" ht="36" customHeight="1">
      <c r="A40" s="41" t="inlineStr">
        <is>
          <t>F. Chat</t>
        </is>
      </c>
      <c r="B40" s="42" t="inlineStr">
        <is>
          <t>F1</t>
        </is>
      </c>
      <c r="C40" s="42" t="inlineStr">
        <is>
          <t>Houda</t>
        </is>
      </c>
      <c r="D40" s="43" t="inlineStr">
        <is>
          <t>Onglet Dr : ouvrir la conversation</t>
        </is>
      </c>
      <c r="E40" s="43" t="inlineStr">
        <is>
          <t>Historique visible (pas « Envoyez le premier message » à vide)</t>
        </is>
      </c>
      <c r="F40" s="21" t="inlineStr">
        <is>
          <t>Haute</t>
        </is>
      </c>
      <c r="G40" s="42" t="inlineStr"/>
      <c r="H40" s="42" t="inlineStr"/>
      <c r="I40" s="42" t="inlineStr"/>
      <c r="J40" s="43" t="inlineStr"/>
    </row>
    <row r="41" ht="36" customHeight="1">
      <c r="A41" s="41" t="inlineStr">
        <is>
          <t>F. Chat</t>
        </is>
      </c>
      <c r="B41" s="42" t="inlineStr">
        <is>
          <t>F2</t>
        </is>
      </c>
      <c r="C41" s="42" t="inlineStr">
        <is>
          <t>Houda</t>
        </is>
      </c>
      <c r="D41" s="43" t="inlineStr">
        <is>
          <t>Identifier l'expéditeur</t>
        </is>
      </c>
      <c r="E41" s="43" t="inlineStr">
        <is>
          <t>On voit Dr / Houda / système sans chercher</t>
        </is>
      </c>
      <c r="F41" s="21" t="inlineStr">
        <is>
          <t>Haute</t>
        </is>
      </c>
      <c r="G41" s="42" t="inlineStr"/>
      <c r="H41" s="42" t="inlineStr"/>
      <c r="I41" s="42" t="inlineStr"/>
      <c r="J41" s="43" t="inlineStr"/>
    </row>
    <row r="42" ht="36" customHeight="1">
      <c r="A42" s="41" t="inlineStr">
        <is>
          <t>F. Chat</t>
        </is>
      </c>
      <c r="B42" s="42" t="inlineStr">
        <is>
          <t>F3</t>
        </is>
      </c>
      <c r="C42" s="42" t="inlineStr">
        <is>
          <t>Houda</t>
        </is>
      </c>
      <c r="D42" s="43" t="inlineStr">
        <is>
          <t>Lire les messages du Dr</t>
        </is>
      </c>
      <c r="E42" s="43" t="inlineStr">
        <is>
          <t>Badge rouge disparaît (onglet Dr)</t>
        </is>
      </c>
      <c r="F42" s="21" t="inlineStr">
        <is>
          <t>Haute</t>
        </is>
      </c>
      <c r="G42" s="42" t="inlineStr"/>
      <c r="H42" s="42" t="inlineStr"/>
      <c r="I42" s="42" t="inlineStr"/>
      <c r="J42" s="43" t="inlineStr"/>
    </row>
    <row r="43" ht="36" customHeight="1">
      <c r="A43" s="41" t="inlineStr">
        <is>
          <t>F. Chat</t>
        </is>
      </c>
      <c r="B43" s="42" t="inlineStr">
        <is>
          <t>F4</t>
        </is>
      </c>
      <c r="C43" s="42" t="inlineStr">
        <is>
          <t>Houda</t>
        </is>
      </c>
      <c r="D43" s="43" t="inlineStr">
        <is>
          <t>Filtres liste</t>
        </is>
      </c>
      <c r="E43" s="43" t="inlineStr">
        <is>
          <t>Tous + Non lus uniquement (plus de filtre Médecin)</t>
        </is>
      </c>
      <c r="F43" s="22" t="inlineStr">
        <is>
          <t>Moyenne</t>
        </is>
      </c>
      <c r="G43" s="42" t="inlineStr"/>
      <c r="H43" s="42" t="inlineStr"/>
      <c r="I43" s="42" t="inlineStr"/>
      <c r="J43" s="43" t="inlineStr"/>
    </row>
    <row r="44" ht="36" customHeight="1">
      <c r="A44" s="41" t="inlineStr">
        <is>
          <t>F. Chat</t>
        </is>
      </c>
      <c r="B44" s="42" t="inlineStr">
        <is>
          <t>F5</t>
        </is>
      </c>
      <c r="C44" s="42" t="inlineStr">
        <is>
          <t>Patiente</t>
        </is>
      </c>
      <c r="D44" s="43" t="inlineStr">
        <is>
          <t>Envoyer un message</t>
        </is>
      </c>
      <c r="E44" s="43" t="inlineStr">
        <is>
          <t>Cloche équipe ; Houda/Dr voient le fil Patientes</t>
        </is>
      </c>
      <c r="F44" s="22" t="inlineStr">
        <is>
          <t>Moyenne</t>
        </is>
      </c>
      <c r="G44" s="42" t="inlineStr"/>
      <c r="H44" s="42" t="inlineStr"/>
      <c r="I44" s="42" t="inlineStr"/>
      <c r="J44" s="43" t="inlineStr"/>
    </row>
    <row r="45" ht="36" customHeight="1">
      <c r="A45" s="41" t="inlineStr">
        <is>
          <t>F. Chat</t>
        </is>
      </c>
      <c r="B45" s="42" t="inlineStr">
        <is>
          <t>F6</t>
        </is>
      </c>
      <c r="C45" s="42" t="inlineStr">
        <is>
          <t>Houda</t>
        </is>
      </c>
      <c r="D45" s="43" t="inlineStr">
        <is>
          <t>Répondre à la patiente (pas interne)</t>
        </is>
      </c>
      <c r="E45" s="43" t="inlineStr">
        <is>
          <t>Patiente reçoit chat + EMAIL</t>
        </is>
      </c>
      <c r="F45" s="21" t="inlineStr">
        <is>
          <t>Haute</t>
        </is>
      </c>
      <c r="G45" s="42" t="inlineStr"/>
      <c r="H45" s="42" t="inlineStr"/>
      <c r="I45" s="42" t="inlineStr"/>
      <c r="J45" s="43" t="inlineStr"/>
    </row>
    <row r="46" ht="36" customHeight="1">
      <c r="A46" s="44" t="inlineStr">
        <is>
          <t>G. Abstention</t>
        </is>
      </c>
      <c r="B46" s="45" t="inlineStr">
        <is>
          <t>G1</t>
        </is>
      </c>
      <c r="C46" s="45" t="inlineStr">
        <is>
          <t>Dr</t>
        </is>
      </c>
      <c r="D46" s="46" t="inlineStr">
        <is>
          <t>Bouton Abstention sur un dossier</t>
        </is>
      </c>
      <c r="E46" s="46" t="inlineStr">
        <is>
          <t>Statut Abstention</t>
        </is>
      </c>
      <c r="F46" s="21" t="inlineStr">
        <is>
          <t>Haute</t>
        </is>
      </c>
      <c r="G46" s="45" t="inlineStr"/>
      <c r="H46" s="45" t="inlineStr"/>
      <c r="I46" s="45" t="inlineStr"/>
      <c r="J46" s="46" t="inlineStr"/>
    </row>
    <row r="47" ht="36" customHeight="1">
      <c r="A47" s="44" t="inlineStr">
        <is>
          <t>G. Abstention</t>
        </is>
      </c>
      <c r="B47" s="45" t="inlineStr">
        <is>
          <t>G2</t>
        </is>
      </c>
      <c r="C47" s="45" t="inlineStr">
        <is>
          <t>Houda</t>
        </is>
      </c>
      <c r="D47" s="46" t="inlineStr">
        <is>
          <t>Chat Dr</t>
        </is>
      </c>
      <c r="E47" s="46" t="inlineStr">
        <is>
          <t>Message + bouton Ouvrir le dossier</t>
        </is>
      </c>
      <c r="F47" s="21" t="inlineStr">
        <is>
          <t>Haute</t>
        </is>
      </c>
      <c r="G47" s="45" t="inlineStr"/>
      <c r="H47" s="45" t="inlineStr"/>
      <c r="I47" s="45" t="inlineStr"/>
      <c r="J47" s="46" t="inlineStr"/>
    </row>
    <row r="48" ht="36" customHeight="1">
      <c r="A48" s="44" t="inlineStr">
        <is>
          <t>G. Abstention</t>
        </is>
      </c>
      <c r="B48" s="45" t="inlineStr">
        <is>
          <t>G3</t>
        </is>
      </c>
      <c r="C48" s="45" t="inlineStr">
        <is>
          <t>Houda</t>
        </is>
      </c>
      <c r="D48" s="46" t="inlineStr">
        <is>
          <t>Email + spam</t>
        </is>
      </c>
      <c r="E48" s="46" t="inlineStr">
        <is>
          <t>Email dossier classé en abstention</t>
        </is>
      </c>
      <c r="F48" s="21" t="inlineStr">
        <is>
          <t>Haute</t>
        </is>
      </c>
      <c r="G48" s="45" t="inlineStr"/>
      <c r="H48" s="45" t="inlineStr"/>
      <c r="I48" s="45" t="inlineStr"/>
      <c r="J48" s="46" t="inlineStr"/>
    </row>
    <row r="49" ht="36" customHeight="1">
      <c r="A49" s="44" t="inlineStr">
        <is>
          <t>G. Abstention</t>
        </is>
      </c>
      <c r="B49" s="45" t="inlineStr">
        <is>
          <t>G4</t>
        </is>
      </c>
      <c r="C49" s="45" t="inlineStr">
        <is>
          <t>Houda</t>
        </is>
      </c>
      <c r="D49" s="46" t="inlineStr">
        <is>
          <t>Envoyer le message type à la patiente (personnalisable)</t>
        </is>
      </c>
      <c r="E49" s="46" t="inlineStr">
        <is>
          <t>Chat patiente + email patiente</t>
        </is>
      </c>
      <c r="F49" s="21" t="inlineStr">
        <is>
          <t>Haute</t>
        </is>
      </c>
      <c r="G49" s="45" t="inlineStr"/>
      <c r="H49" s="45" t="inlineStr"/>
      <c r="I49" s="45" t="inlineStr"/>
      <c r="J49" s="46" t="inlineStr"/>
    </row>
    <row r="50" ht="36" customHeight="1">
      <c r="A50" s="44" t="inlineStr">
        <is>
          <t>G. Abstention</t>
        </is>
      </c>
      <c r="B50" s="45" t="inlineStr">
        <is>
          <t>G5</t>
        </is>
      </c>
      <c r="C50" s="45" t="inlineStr">
        <is>
          <t>Houda</t>
        </is>
      </c>
      <c r="D50" s="46" t="inlineStr">
        <is>
          <t>Onglet Abstention liste Patients</t>
        </is>
      </c>
      <c r="E50" s="46" t="inlineStr">
        <is>
          <t>Dossier présent</t>
        </is>
      </c>
      <c r="F50" s="22" t="inlineStr">
        <is>
          <t>Moyenne</t>
        </is>
      </c>
      <c r="G50" s="45" t="inlineStr"/>
      <c r="H50" s="45" t="inlineStr"/>
      <c r="I50" s="45" t="inlineStr"/>
      <c r="J50" s="46" t="inlineStr"/>
    </row>
    <row r="51" ht="36" customHeight="1">
      <c r="A51" s="44" t="inlineStr">
        <is>
          <t>G. Abstention</t>
        </is>
      </c>
      <c r="B51" s="45" t="inlineStr">
        <is>
          <t>G6</t>
        </is>
      </c>
      <c r="C51" s="45" t="inlineStr">
        <is>
          <t>Houda / Dr</t>
        </is>
      </c>
      <c r="D51" s="46" t="inlineStr">
        <is>
          <t>Réouvrir le dossier</t>
        </is>
      </c>
      <c r="E51" s="46" t="inlineStr">
        <is>
          <t>Revient dans le parcours actif</t>
        </is>
      </c>
      <c r="F51" s="22" t="inlineStr">
        <is>
          <t>Moyenne</t>
        </is>
      </c>
      <c r="G51" s="45" t="inlineStr"/>
      <c r="H51" s="45" t="inlineStr"/>
      <c r="I51" s="45" t="inlineStr"/>
      <c r="J51" s="46" t="inlineStr"/>
    </row>
    <row r="52" ht="36" customHeight="1">
      <c r="A52" s="18" t="inlineStr">
        <is>
          <t>H. Emails destinataires</t>
        </is>
      </c>
      <c r="B52" s="19" t="inlineStr">
        <is>
          <t>H1</t>
        </is>
      </c>
      <c r="C52" s="19" t="inlineStr">
        <is>
          <t>Dr</t>
        </is>
      </c>
      <c r="D52" s="20" t="inlineStr">
        <is>
          <t>Formulaire soumis</t>
        </is>
      </c>
      <c r="E52" s="20" t="inlineStr">
        <is>
          <t>Reçu par dr.chennoufi (+ copie Sarra)</t>
        </is>
      </c>
      <c r="F52" s="21" t="inlineStr">
        <is>
          <t>Haute</t>
        </is>
      </c>
      <c r="G52" s="19" t="inlineStr"/>
      <c r="H52" s="19" t="inlineStr"/>
      <c r="I52" s="19" t="inlineStr"/>
      <c r="J52" s="20" t="inlineStr"/>
    </row>
    <row r="53" ht="36" customHeight="1">
      <c r="A53" s="18" t="inlineStr">
        <is>
          <t>H. Emails destinataires</t>
        </is>
      </c>
      <c r="B53" s="19" t="inlineStr">
        <is>
          <t>H2</t>
        </is>
      </c>
      <c r="C53" s="19" t="inlineStr">
        <is>
          <t>Dr</t>
        </is>
      </c>
      <c r="D53" s="20" t="inlineStr">
        <is>
          <t>Demande nouveau rapport (Houda)</t>
        </is>
      </c>
      <c r="E53" s="20" t="inlineStr">
        <is>
          <t>Reçu par le Dr (+ copie)</t>
        </is>
      </c>
      <c r="F53" s="21" t="inlineStr">
        <is>
          <t>Haute</t>
        </is>
      </c>
      <c r="G53" s="19" t="inlineStr"/>
      <c r="H53" s="19" t="inlineStr"/>
      <c r="I53" s="19" t="inlineStr"/>
      <c r="J53" s="20" t="inlineStr"/>
    </row>
    <row r="54" ht="36" customHeight="1">
      <c r="A54" s="18" t="inlineStr">
        <is>
          <t>H. Emails destinataires</t>
        </is>
      </c>
      <c r="B54" s="19" t="inlineStr">
        <is>
          <t>H3</t>
        </is>
      </c>
      <c r="C54" s="19" t="inlineStr">
        <is>
          <t>Houda</t>
        </is>
      </c>
      <c r="D54" s="20" t="inlineStr">
        <is>
          <t>Rapport / 2e rapport / abstention</t>
        </is>
      </c>
      <c r="E54" s="20" t="inlineStr">
        <is>
          <t>Reçu par houda.chennoufi.pb (+ copie)</t>
        </is>
      </c>
      <c r="F54" s="21" t="inlineStr">
        <is>
          <t>Haute</t>
        </is>
      </c>
      <c r="G54" s="19" t="inlineStr"/>
      <c r="H54" s="19" t="inlineStr"/>
      <c r="I54" s="19" t="inlineStr"/>
      <c r="J54" s="20" t="inlineStr"/>
    </row>
    <row r="55" ht="36" customHeight="1">
      <c r="A55" s="18" t="inlineStr">
        <is>
          <t>H. Emails destinataires</t>
        </is>
      </c>
      <c r="B55" s="19" t="inlineStr">
        <is>
          <t>H4</t>
        </is>
      </c>
      <c r="C55" s="19" t="inlineStr">
        <is>
          <t>Dr</t>
        </is>
      </c>
      <c r="D55" s="20" t="inlineStr">
        <is>
          <t>Ne reçoit PAS les emails rapport/abstention Houda</t>
        </is>
      </c>
      <c r="E55" s="20" t="inlineStr">
        <is>
          <t>Pas dans la boîte Dr</t>
        </is>
      </c>
      <c r="F55" s="22" t="inlineStr">
        <is>
          <t>Moyenne</t>
        </is>
      </c>
      <c r="G55" s="19" t="inlineStr"/>
      <c r="H55" s="19" t="inlineStr"/>
      <c r="I55" s="19" t="inlineStr"/>
      <c r="J55" s="20" t="inlineStr"/>
    </row>
    <row r="56" ht="36" customHeight="1">
      <c r="A56" s="18" t="inlineStr">
        <is>
          <t>H. Emails destinataires</t>
        </is>
      </c>
      <c r="B56" s="19" t="inlineStr">
        <is>
          <t>H5</t>
        </is>
      </c>
      <c r="C56" s="19" t="inlineStr">
        <is>
          <t>Houda</t>
        </is>
      </c>
      <c r="D56" s="20" t="inlineStr">
        <is>
          <t>Ne reçoit PAS les emails formulaire</t>
        </is>
      </c>
      <c r="E56" s="20" t="inlineStr">
        <is>
          <t>Pas dans la boîte Houda</t>
        </is>
      </c>
      <c r="F56" s="22" t="inlineStr">
        <is>
          <t>Moyenne</t>
        </is>
      </c>
      <c r="G56" s="19" t="inlineStr"/>
      <c r="H56" s="19" t="inlineStr"/>
      <c r="I56" s="19" t="inlineStr"/>
      <c r="J56" s="20" t="inlineStr"/>
    </row>
    <row r="57" ht="36" customHeight="1">
      <c r="A57" s="23" t="inlineStr">
        <is>
          <t>I. Régressions</t>
        </is>
      </c>
      <c r="B57" s="24" t="inlineStr">
        <is>
          <t>I1</t>
        </is>
      </c>
      <c r="C57" s="24" t="inlineStr">
        <is>
          <t>Houda</t>
        </is>
      </c>
      <c r="D57" s="25" t="inlineStr">
        <is>
          <t>Compteurs Patients (Non traités / Traités / Abstention / Tous)</t>
        </is>
      </c>
      <c r="E57" s="25" t="inlineStr">
        <is>
          <t>Chiffres cohérents avec la liste</t>
        </is>
      </c>
      <c r="F57" s="22" t="inlineStr">
        <is>
          <t>Moyenne</t>
        </is>
      </c>
      <c r="G57" s="24" t="inlineStr"/>
      <c r="H57" s="24" t="inlineStr"/>
      <c r="I57" s="24" t="inlineStr"/>
      <c r="J57" s="25" t="inlineStr"/>
    </row>
    <row r="58" ht="36" customHeight="1">
      <c r="A58" s="23" t="inlineStr">
        <is>
          <t>I. Régressions</t>
        </is>
      </c>
      <c r="B58" s="24" t="inlineStr">
        <is>
          <t>I2</t>
        </is>
      </c>
      <c r="C58" s="24" t="inlineStr">
        <is>
          <t>Houda / Dr</t>
        </is>
      </c>
      <c r="D58" s="25" t="inlineStr">
        <is>
          <t>Récap formulaire d'un dossier</t>
        </is>
      </c>
      <c r="E58" s="25" t="inlineStr">
        <is>
          <t>Pas d'affichage multiple / doublon de blocs</t>
        </is>
      </c>
      <c r="F58" s="22" t="inlineStr">
        <is>
          <t>Moyenne</t>
        </is>
      </c>
      <c r="G58" s="24" t="inlineStr"/>
      <c r="H58" s="24" t="inlineStr"/>
      <c r="I58" s="24" t="inlineStr"/>
      <c r="J58" s="25" t="inlineStr"/>
    </row>
    <row r="59" ht="36" customHeight="1">
      <c r="A59" s="23" t="inlineStr">
        <is>
          <t>I. Régressions</t>
        </is>
      </c>
      <c r="B59" s="24" t="inlineStr">
        <is>
          <t>I3</t>
        </is>
      </c>
      <c r="C59" s="24" t="inlineStr">
        <is>
          <t>Patiente</t>
        </is>
      </c>
      <c r="D59" s="25" t="inlineStr">
        <is>
          <t>Agenda : accepter une date proposée</t>
        </is>
      </c>
      <c r="E59" s="25" t="inlineStr">
        <is>
          <t>Houda notifiée in-app ; statut MAJ</t>
        </is>
      </c>
      <c r="F59" s="47" t="inlineStr">
        <is>
          <t>Basse</t>
        </is>
      </c>
      <c r="G59" s="24" t="inlineStr"/>
      <c r="H59" s="24" t="inlineStr"/>
      <c r="I59" s="24" t="inlineStr"/>
      <c r="J59" s="25" t="inlineStr"/>
    </row>
    <row r="60" ht="36" customHeight="1">
      <c r="A60" s="23" t="inlineStr">
        <is>
          <t>I. Régressions</t>
        </is>
      </c>
      <c r="B60" s="24" t="inlineStr">
        <is>
          <t>I4</t>
        </is>
      </c>
      <c r="C60" s="24" t="inlineStr">
        <is>
          <t>Tous</t>
        </is>
      </c>
      <c r="D60" s="25" t="inlineStr">
        <is>
          <t>Déconnexion puis reconnexion</t>
        </is>
      </c>
      <c r="E60" s="25" t="inlineStr">
        <is>
          <t>Retour OK</t>
        </is>
      </c>
      <c r="F60" s="47" t="inlineStr">
        <is>
          <t>Basse</t>
        </is>
      </c>
      <c r="G60" s="24" t="inlineStr"/>
      <c r="H60" s="24" t="inlineStr"/>
      <c r="I60" s="24" t="inlineStr"/>
      <c r="J60" s="25" t="inlineStr"/>
    </row>
  </sheetData>
  <autoFilter ref="A1:J60"/>
  <conditionalFormatting sqref="G2:G6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"N/A"</formula>
    </cfRule>
  </conditionalFormatting>
  <dataValidations count="1">
    <dataValidation sqref="G2:G60" showDropDown="0" showInputMessage="0" showErrorMessage="0" allowBlank="1" errorTitle="Statut" error="Choisir OK, KO, N/A ou A retester" promptTitle="Résultat" prompt="OK / KO / N/A / A retester" type="list">
      <formula1>"OK,KO,N/A,A retester"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2026-08-17T09:28:59Z</dcterms:created>
  <dcterms:modified xmlns:dcterms="http://purl.org/dc/terms/" xmlns:xsi="http://www.w3.org/2001/XMLSchema-instance" xsi:type="dcterms:W3CDTF">2026-08-17T09:29:00Z</dcterms:modified>
</cp:coreProperties>
</file>